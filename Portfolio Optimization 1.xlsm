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IBRARY\Academic Leveling\Computational Economics\Roger D. Peng\Markowitz Portfolio Optimization\"/>
    </mc:Choice>
  </mc:AlternateContent>
  <xr:revisionPtr revIDLastSave="0" documentId="13_ncr:1_{107331CF-F395-4F95-B07F-9A9B87D4CA09}" xr6:coauthVersionLast="45" xr6:coauthVersionMax="45" xr10:uidLastSave="{00000000-0000-0000-0000-000000000000}"/>
  <bookViews>
    <workbookView xWindow="-120" yWindow="-120" windowWidth="20730" windowHeight="11760" xr2:uid="{DE7599BE-3D5C-4DCD-9FA8-BDFCE284965F}"/>
  </bookViews>
  <sheets>
    <sheet name="Portfolio" sheetId="1" r:id="rId1"/>
  </sheets>
  <definedNames>
    <definedName name="Amzn">Portfolio!$E$7:$E$65</definedName>
    <definedName name="Amznret">Portfolio!$E$7:$E$65</definedName>
    <definedName name="JP">Portfolio!$F$7:$F$65</definedName>
    <definedName name="JPret">Portfolio!$F$7:$F$65</definedName>
    <definedName name="solver_adj" localSheetId="0" hidden="1">Portfolio!$J$16:$J$17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Portfolio!$J$18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Portfolio!$J$23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8" i="1" l="1"/>
  <c r="J7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O7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J28" i="1"/>
  <c r="J30" i="1"/>
  <c r="J27" i="1"/>
  <c r="K27" i="1"/>
  <c r="K28" i="1"/>
  <c r="K30" i="1"/>
  <c r="K29" i="1"/>
  <c r="J29" i="1"/>
  <c r="N7" i="1"/>
  <c r="O6" i="1"/>
  <c r="N6" i="1"/>
  <c r="J10" i="1" a="1"/>
  <c r="J10" i="1"/>
  <c r="R17" i="1"/>
  <c r="J9" i="1" a="1"/>
  <c r="J9" i="1"/>
  <c r="J12" i="1"/>
  <c r="J20" i="1" a="1"/>
  <c r="J20" i="1"/>
  <c r="J21" i="1" a="1"/>
  <c r="J21" i="1"/>
  <c r="J23" i="1"/>
</calcChain>
</file>

<file path=xl/sharedStrings.xml><?xml version="1.0" encoding="utf-8"?>
<sst xmlns="http://schemas.openxmlformats.org/spreadsheetml/2006/main" count="37" uniqueCount="22">
  <si>
    <t>Date</t>
  </si>
  <si>
    <t>My First Portfolio Optimization</t>
  </si>
  <si>
    <t>AMAZON Inc.</t>
  </si>
  <si>
    <t>JP Morgan Chase</t>
  </si>
  <si>
    <t>Stock Daily Price</t>
  </si>
  <si>
    <t>Amazon Inc.</t>
  </si>
  <si>
    <t>Daily Return</t>
  </si>
  <si>
    <t>Average Monthly Return</t>
  </si>
  <si>
    <t>Monthly Variance</t>
  </si>
  <si>
    <t>Average Annual Return</t>
  </si>
  <si>
    <t>Annual Variance</t>
  </si>
  <si>
    <t>Weights</t>
  </si>
  <si>
    <t>Amazon Inc</t>
  </si>
  <si>
    <t>Portfolio</t>
  </si>
  <si>
    <t>Expected Return</t>
  </si>
  <si>
    <t>Standard Deviation</t>
  </si>
  <si>
    <t>Variance - Covariance Matrix</t>
  </si>
  <si>
    <t>Sum</t>
  </si>
  <si>
    <t>3 Month Treasury Bill</t>
  </si>
  <si>
    <t>Sharpe Ratio</t>
  </si>
  <si>
    <t>Equally Weighted Portfolio</t>
  </si>
  <si>
    <t>Optimal Risky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</si>
</sst>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0" formatCode="0.0000"/>
    <numFmt numFmtId="171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1" fillId="2" borderId="0" applyNumberFormat="0" applyBorder="0" applyAlignment="0" applyProtection="0"/>
    <xf numFmtId="0" fontId="6" fillId="3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4" fillId="0" borderId="2" xfId="4"/>
    <xf numFmtId="0" fontId="2" fillId="0" borderId="0" xfId="2" applyAlignment="1">
      <alignment horizontal="center"/>
    </xf>
    <xf numFmtId="0" fontId="6" fillId="3" borderId="0" xfId="6" applyAlignment="1">
      <alignment horizontal="center"/>
    </xf>
    <xf numFmtId="0" fontId="1" fillId="2" borderId="0" xfId="5"/>
    <xf numFmtId="0" fontId="0" fillId="2" borderId="0" xfId="5" applyFont="1"/>
    <xf numFmtId="10" fontId="0" fillId="0" borderId="0" xfId="1" applyNumberFormat="1" applyFont="1"/>
    <xf numFmtId="10" fontId="2" fillId="0" borderId="0" xfId="1" applyNumberFormat="1" applyFont="1" applyAlignment="1">
      <alignment horizontal="center"/>
    </xf>
    <xf numFmtId="10" fontId="6" fillId="3" borderId="0" xfId="1" applyNumberFormat="1" applyFont="1" applyFill="1" applyAlignment="1">
      <alignment horizontal="center"/>
    </xf>
    <xf numFmtId="10" fontId="4" fillId="0" borderId="2" xfId="1" applyNumberFormat="1" applyFont="1" applyBorder="1"/>
    <xf numFmtId="10" fontId="6" fillId="3" borderId="0" xfId="1" applyNumberFormat="1" applyFont="1" applyFill="1" applyAlignment="1"/>
    <xf numFmtId="0" fontId="5" fillId="0" borderId="0" xfId="0" applyFont="1"/>
    <xf numFmtId="0" fontId="5" fillId="0" borderId="0" xfId="0" applyFont="1" applyAlignment="1">
      <alignment horizontal="center"/>
    </xf>
    <xf numFmtId="170" fontId="0" fillId="0" borderId="0" xfId="0" applyNumberFormat="1"/>
    <xf numFmtId="171" fontId="0" fillId="0" borderId="0" xfId="0" applyNumberFormat="1"/>
    <xf numFmtId="0" fontId="1" fillId="2" borderId="3" xfId="5" applyBorder="1"/>
    <xf numFmtId="2" fontId="0" fillId="4" borderId="4" xfId="0" applyNumberFormat="1" applyFill="1" applyBorder="1"/>
    <xf numFmtId="0" fontId="4" fillId="0" borderId="2" xfId="4" applyAlignment="1">
      <alignment horizontal="center"/>
    </xf>
    <xf numFmtId="0" fontId="7" fillId="0" borderId="1" xfId="3" applyFont="1" applyAlignment="1">
      <alignment horizontal="center"/>
    </xf>
  </cellXfs>
  <cellStyles count="7">
    <cellStyle name="20% - Accent1" xfId="5" builtinId="30"/>
    <cellStyle name="Accent6" xfId="6" builtinId="49"/>
    <cellStyle name="Heading 1" xfId="3" builtinId="16"/>
    <cellStyle name="Heading 3" xfId="4" builtinId="18"/>
    <cellStyle name="Normal" xfId="0" builtinId="0"/>
    <cellStyle name="Percent" xfId="1" builtinId="5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712EE-EB45-451A-A045-A0489157E60B}">
  <dimension ref="A1:R258"/>
  <sheetViews>
    <sheetView tabSelected="1" zoomScale="80" zoomScaleNormal="80" workbookViewId="0">
      <selection activeCell="L24" sqref="L24"/>
    </sheetView>
  </sheetViews>
  <sheetFormatPr defaultRowHeight="15" x14ac:dyDescent="0.25"/>
  <cols>
    <col min="1" max="1" width="10.7109375" bestFit="1" customWidth="1"/>
    <col min="2" max="2" width="12.7109375" bestFit="1" customWidth="1"/>
    <col min="3" max="3" width="15.85546875" bestFit="1" customWidth="1"/>
    <col min="5" max="5" width="11.7109375" style="7" bestFit="1" customWidth="1"/>
    <col min="6" max="6" width="16" style="7" bestFit="1" customWidth="1"/>
    <col min="9" max="9" width="25.5703125" bestFit="1" customWidth="1"/>
    <col min="10" max="10" width="12" bestFit="1" customWidth="1"/>
    <col min="11" max="11" width="16" bestFit="1" customWidth="1"/>
    <col min="13" max="13" width="17.42578125" bestFit="1" customWidth="1"/>
    <col min="14" max="14" width="22.140625" bestFit="1" customWidth="1"/>
    <col min="15" max="15" width="17.42578125" bestFit="1" customWidth="1"/>
  </cols>
  <sheetData>
    <row r="1" spans="1:16" ht="15.75" thickBot="1" x14ac:dyDescent="0.3">
      <c r="A1" s="19" t="s">
        <v>1</v>
      </c>
      <c r="B1" s="19"/>
      <c r="C1" s="19"/>
      <c r="D1" s="19"/>
      <c r="E1" s="19"/>
      <c r="F1" s="19"/>
      <c r="G1" s="19"/>
    </row>
    <row r="2" spans="1:16" ht="16.5" thickTop="1" thickBot="1" x14ac:dyDescent="0.3">
      <c r="A2" s="19"/>
      <c r="B2" s="19"/>
      <c r="C2" s="19"/>
      <c r="D2" s="19"/>
      <c r="E2" s="19"/>
      <c r="F2" s="19"/>
      <c r="G2" s="19"/>
      <c r="I2" s="9" t="s">
        <v>13</v>
      </c>
      <c r="J2" s="9"/>
      <c r="K2" s="9"/>
    </row>
    <row r="3" spans="1:16" ht="19.5" customHeight="1" thickTop="1" thickBot="1" x14ac:dyDescent="0.4">
      <c r="A3" s="3"/>
      <c r="B3" s="3"/>
      <c r="C3" s="3"/>
      <c r="D3" s="3"/>
      <c r="E3" s="8"/>
      <c r="F3" s="8"/>
      <c r="G3" s="3"/>
      <c r="I3" s="18" t="s">
        <v>20</v>
      </c>
      <c r="J3" s="18"/>
      <c r="K3" s="18"/>
    </row>
    <row r="4" spans="1:16" x14ac:dyDescent="0.25">
      <c r="A4" s="4" t="s">
        <v>4</v>
      </c>
      <c r="B4" s="4"/>
      <c r="C4" s="4"/>
      <c r="E4" s="9" t="s">
        <v>6</v>
      </c>
      <c r="F4" s="9"/>
      <c r="J4" s="11" t="s">
        <v>11</v>
      </c>
      <c r="N4" s="13" t="s">
        <v>16</v>
      </c>
      <c r="O4" s="13"/>
      <c r="P4" s="13"/>
    </row>
    <row r="5" spans="1:16" ht="15.75" thickBot="1" x14ac:dyDescent="0.3">
      <c r="A5" s="2" t="s">
        <v>0</v>
      </c>
      <c r="B5" s="2" t="s">
        <v>2</v>
      </c>
      <c r="C5" s="2" t="s">
        <v>3</v>
      </c>
      <c r="E5" s="10" t="s">
        <v>5</v>
      </c>
      <c r="F5" s="10" t="s">
        <v>3</v>
      </c>
      <c r="I5" s="5" t="s">
        <v>12</v>
      </c>
      <c r="J5">
        <v>0.5</v>
      </c>
      <c r="N5" s="5" t="s">
        <v>12</v>
      </c>
      <c r="O5" s="6" t="s">
        <v>3</v>
      </c>
    </row>
    <row r="6" spans="1:16" x14ac:dyDescent="0.25">
      <c r="A6" s="1">
        <v>42156</v>
      </c>
      <c r="B6">
        <v>434.08999599999999</v>
      </c>
      <c r="C6">
        <v>67.760002</v>
      </c>
      <c r="I6" s="6" t="s">
        <v>3</v>
      </c>
      <c r="J6">
        <v>0.5</v>
      </c>
      <c r="M6" s="5" t="s">
        <v>12</v>
      </c>
      <c r="N6" s="15">
        <f>COVAR(Amznret,Amznret)*12</f>
        <v>8.9620833421471965E-2</v>
      </c>
      <c r="O6" s="15">
        <f>COVAR(Amznret,JPret)*12</f>
        <v>2.4041310200084764E-2</v>
      </c>
    </row>
    <row r="7" spans="1:16" x14ac:dyDescent="0.25">
      <c r="A7" s="1">
        <v>42186</v>
      </c>
      <c r="B7">
        <v>536.15002400000003</v>
      </c>
      <c r="C7">
        <v>68.529999000000004</v>
      </c>
      <c r="E7" s="7">
        <f>(B7/B6)-1</f>
        <v>0.23511260093632758</v>
      </c>
      <c r="F7" s="7">
        <f>(C7/C6)-1</f>
        <v>1.1363591754321334E-2</v>
      </c>
      <c r="I7" s="6" t="s">
        <v>17</v>
      </c>
      <c r="J7">
        <f>SUM(J5:J6)</f>
        <v>1</v>
      </c>
      <c r="M7" s="6" t="s">
        <v>3</v>
      </c>
      <c r="N7" s="15">
        <f>COVAR(JPret,Amznret)*12</f>
        <v>2.4041310200084764E-2</v>
      </c>
      <c r="O7" s="15">
        <f>VAR(JPret,JPret)*12</f>
        <v>5.3418915593081401E-2</v>
      </c>
    </row>
    <row r="8" spans="1:16" x14ac:dyDescent="0.25">
      <c r="A8" s="1">
        <v>42217</v>
      </c>
      <c r="B8">
        <v>512.89001499999995</v>
      </c>
      <c r="C8">
        <v>64.099997999999999</v>
      </c>
      <c r="E8" s="7">
        <f t="shared" ref="E8:E65" si="0">(B8/B7)-1</f>
        <v>-4.3383396360717308E-2</v>
      </c>
      <c r="F8" s="7">
        <f t="shared" ref="F8:F65" si="1">(C8/C7)-1</f>
        <v>-6.464323748202605E-2</v>
      </c>
    </row>
    <row r="9" spans="1:16" x14ac:dyDescent="0.25">
      <c r="A9" s="1">
        <v>42248</v>
      </c>
      <c r="B9">
        <v>511.89001500000001</v>
      </c>
      <c r="C9">
        <v>60.970001000000003</v>
      </c>
      <c r="E9" s="7">
        <f t="shared" si="0"/>
        <v>-1.949735753775439E-3</v>
      </c>
      <c r="F9" s="7">
        <f t="shared" si="1"/>
        <v>-4.8829907919809901E-2</v>
      </c>
      <c r="I9" s="12" t="s">
        <v>14</v>
      </c>
      <c r="J9" s="7">
        <f t="array" ref="J9">MMULT(TRANSPOSE(J5:J6),TRANSPOSE(J29:K29))</f>
        <v>0.25028978256409345</v>
      </c>
    </row>
    <row r="10" spans="1:16" x14ac:dyDescent="0.25">
      <c r="A10" s="1">
        <v>42278</v>
      </c>
      <c r="B10">
        <v>625.90002400000003</v>
      </c>
      <c r="C10">
        <v>64.25</v>
      </c>
      <c r="E10" s="7">
        <f t="shared" si="0"/>
        <v>0.22272364308571246</v>
      </c>
      <c r="F10" s="7">
        <f t="shared" si="1"/>
        <v>5.3796932035477418E-2</v>
      </c>
      <c r="I10" s="12" t="s">
        <v>15</v>
      </c>
      <c r="J10" s="7">
        <f t="array" ref="J10">SQRT(MMULT(MMULT(TRANSPOSE(J5:J6),N6:O7),J5:J6))</f>
        <v>0.21858772233060283</v>
      </c>
    </row>
    <row r="11" spans="1:16" x14ac:dyDescent="0.25">
      <c r="A11" s="1">
        <v>42309</v>
      </c>
      <c r="B11">
        <v>664.79998799999998</v>
      </c>
      <c r="C11">
        <v>66.680000000000007</v>
      </c>
      <c r="E11" s="7">
        <f t="shared" si="0"/>
        <v>6.2150443374962894E-2</v>
      </c>
      <c r="F11" s="7">
        <f t="shared" si="1"/>
        <v>3.7821011673151883E-2</v>
      </c>
      <c r="I11" s="12"/>
    </row>
    <row r="12" spans="1:16" ht="15.75" thickBot="1" x14ac:dyDescent="0.3">
      <c r="A12" s="1">
        <v>42339</v>
      </c>
      <c r="B12">
        <v>675.89001499999995</v>
      </c>
      <c r="C12">
        <v>66.029999000000004</v>
      </c>
      <c r="E12" s="7">
        <f t="shared" si="0"/>
        <v>1.6681749699429815E-2</v>
      </c>
      <c r="F12" s="7">
        <f t="shared" si="1"/>
        <v>-9.748065386922633E-3</v>
      </c>
      <c r="I12" s="12" t="s">
        <v>19</v>
      </c>
      <c r="J12" s="15">
        <f>(J9-O13)/J10</f>
        <v>0.50455616348518306</v>
      </c>
    </row>
    <row r="13" spans="1:16" ht="15.75" thickBot="1" x14ac:dyDescent="0.3">
      <c r="A13" s="1">
        <v>42370</v>
      </c>
      <c r="B13">
        <v>587</v>
      </c>
      <c r="C13">
        <v>59.5</v>
      </c>
      <c r="E13" s="7">
        <f t="shared" si="0"/>
        <v>-0.13151550256294287</v>
      </c>
      <c r="F13" s="7">
        <f t="shared" si="1"/>
        <v>-9.8894428273427759E-2</v>
      </c>
      <c r="J13" s="15"/>
      <c r="N13" s="16" t="s">
        <v>18</v>
      </c>
      <c r="O13" s="17">
        <v>0.14000000000000001</v>
      </c>
    </row>
    <row r="14" spans="1:16" ht="15.75" thickBot="1" x14ac:dyDescent="0.3">
      <c r="A14" s="1">
        <v>42401</v>
      </c>
      <c r="B14">
        <v>552.52002000000005</v>
      </c>
      <c r="C14">
        <v>56.299999</v>
      </c>
      <c r="E14" s="7">
        <f t="shared" si="0"/>
        <v>-5.8739318568994836E-2</v>
      </c>
      <c r="F14" s="7">
        <f t="shared" si="1"/>
        <v>-5.3781529411764728E-2</v>
      </c>
      <c r="I14" s="18" t="s">
        <v>21</v>
      </c>
      <c r="J14" s="18"/>
      <c r="K14" s="18"/>
    </row>
    <row r="15" spans="1:16" x14ac:dyDescent="0.25">
      <c r="A15" s="1">
        <v>42430</v>
      </c>
      <c r="B15">
        <v>593.64001499999995</v>
      </c>
      <c r="C15">
        <v>59.220001000000003</v>
      </c>
      <c r="E15" s="7">
        <f t="shared" si="0"/>
        <v>7.4422633590724763E-2</v>
      </c>
      <c r="F15" s="7">
        <f t="shared" si="1"/>
        <v>5.1865045326199732E-2</v>
      </c>
      <c r="J15" s="11" t="s">
        <v>11</v>
      </c>
      <c r="M15" s="15"/>
    </row>
    <row r="16" spans="1:16" x14ac:dyDescent="0.25">
      <c r="A16" s="1">
        <v>42461</v>
      </c>
      <c r="B16">
        <v>659.59002699999996</v>
      </c>
      <c r="C16">
        <v>63.200001</v>
      </c>
      <c r="E16" s="7">
        <f t="shared" si="0"/>
        <v>0.11109428329220705</v>
      </c>
      <c r="F16" s="7">
        <f t="shared" si="1"/>
        <v>6.7207023518962794E-2</v>
      </c>
      <c r="I16" s="5" t="s">
        <v>12</v>
      </c>
      <c r="J16">
        <v>1</v>
      </c>
      <c r="M16" s="15"/>
    </row>
    <row r="17" spans="1:18" x14ac:dyDescent="0.25">
      <c r="A17" s="1">
        <v>42491</v>
      </c>
      <c r="B17">
        <v>722.78997800000002</v>
      </c>
      <c r="C17">
        <v>65.269997000000004</v>
      </c>
      <c r="E17" s="7">
        <f t="shared" si="0"/>
        <v>9.5817020289786781E-2</v>
      </c>
      <c r="F17" s="7">
        <f t="shared" si="1"/>
        <v>3.2753100747577646E-2</v>
      </c>
      <c r="I17" s="6" t="s">
        <v>3</v>
      </c>
      <c r="J17">
        <v>0</v>
      </c>
      <c r="M17" s="15"/>
      <c r="R17" s="14">
        <f>SQRT(J5*J5*N6 + J6*J6*O7 + 2*J5*J6*O13)</f>
        <v>0.32520752951559767</v>
      </c>
    </row>
    <row r="18" spans="1:18" x14ac:dyDescent="0.25">
      <c r="A18" s="1">
        <v>42522</v>
      </c>
      <c r="B18">
        <v>715.61999500000002</v>
      </c>
      <c r="C18">
        <v>62.139999000000003</v>
      </c>
      <c r="E18" s="7">
        <f t="shared" si="0"/>
        <v>-9.9198705270371335E-3</v>
      </c>
      <c r="F18" s="7">
        <f t="shared" si="1"/>
        <v>-4.7954621477920401E-2</v>
      </c>
      <c r="I18" s="6" t="s">
        <v>17</v>
      </c>
      <c r="J18">
        <f>SUM(J16:J17)</f>
        <v>1</v>
      </c>
    </row>
    <row r="19" spans="1:18" x14ac:dyDescent="0.25">
      <c r="A19" s="1">
        <v>42552</v>
      </c>
      <c r="B19">
        <v>758.80999799999995</v>
      </c>
      <c r="C19">
        <v>63.970001000000003</v>
      </c>
      <c r="E19" s="7">
        <f t="shared" si="0"/>
        <v>6.0353264723968403E-2</v>
      </c>
      <c r="F19" s="7">
        <f t="shared" si="1"/>
        <v>2.944966252735215E-2</v>
      </c>
    </row>
    <row r="20" spans="1:18" x14ac:dyDescent="0.25">
      <c r="A20" s="1">
        <v>42583</v>
      </c>
      <c r="B20">
        <v>769.15997300000004</v>
      </c>
      <c r="C20">
        <v>67.5</v>
      </c>
      <c r="E20" s="7">
        <f t="shared" si="0"/>
        <v>1.363974516318911E-2</v>
      </c>
      <c r="F20" s="7">
        <f t="shared" si="1"/>
        <v>5.5182100122211919E-2</v>
      </c>
      <c r="I20" s="12" t="s">
        <v>14</v>
      </c>
      <c r="J20" s="7">
        <f t="array" ref="J20">MMULT(TRANSPOSE(J16:J17),TRANSPOSE(J29:K29))</f>
        <v>0.39950100413144879</v>
      </c>
    </row>
    <row r="21" spans="1:18" x14ac:dyDescent="0.25">
      <c r="A21" s="1">
        <v>42614</v>
      </c>
      <c r="B21">
        <v>837.30999799999995</v>
      </c>
      <c r="C21">
        <v>66.589995999999999</v>
      </c>
      <c r="E21" s="7">
        <f t="shared" si="0"/>
        <v>8.8603187103185155E-2</v>
      </c>
      <c r="F21" s="7">
        <f t="shared" si="1"/>
        <v>-1.3481540740740705E-2</v>
      </c>
      <c r="I21" s="12" t="s">
        <v>15</v>
      </c>
      <c r="J21" s="7">
        <f t="array" ref="J21">SQRT(MMULT(MMULT(TRANSPOSE(J16:J17),N6:O7),J16:J17))</f>
        <v>0.299367388707374</v>
      </c>
    </row>
    <row r="22" spans="1:18" x14ac:dyDescent="0.25">
      <c r="A22" s="1">
        <v>42644</v>
      </c>
      <c r="B22">
        <v>789.82000700000003</v>
      </c>
      <c r="C22">
        <v>69.260002</v>
      </c>
      <c r="E22" s="7">
        <f t="shared" si="0"/>
        <v>-5.6717334217236903E-2</v>
      </c>
      <c r="F22" s="7">
        <f t="shared" si="1"/>
        <v>4.0096203039267309E-2</v>
      </c>
      <c r="I22" s="12"/>
    </row>
    <row r="23" spans="1:18" x14ac:dyDescent="0.25">
      <c r="A23" s="1">
        <v>42675</v>
      </c>
      <c r="B23">
        <v>750.57000700000003</v>
      </c>
      <c r="C23">
        <v>80.169998000000007</v>
      </c>
      <c r="E23" s="7">
        <f>(B23/B22)-1</f>
        <v>-4.9694866744493638E-2</v>
      </c>
      <c r="F23" s="7">
        <f>(C23/C22)-1</f>
        <v>0.15752231713767495</v>
      </c>
      <c r="I23" s="12" t="s">
        <v>19</v>
      </c>
      <c r="J23" s="15">
        <f>(J20-O13)/J21</f>
        <v>0.86683123787108995</v>
      </c>
    </row>
    <row r="24" spans="1:18" x14ac:dyDescent="0.25">
      <c r="A24" s="1">
        <v>42705</v>
      </c>
      <c r="B24">
        <v>768.65997300000004</v>
      </c>
      <c r="C24">
        <v>85.489998</v>
      </c>
      <c r="E24" s="7">
        <f t="shared" si="0"/>
        <v>2.4101637197448067E-2</v>
      </c>
      <c r="F24" s="7">
        <f t="shared" si="1"/>
        <v>6.6358988807758035E-2</v>
      </c>
    </row>
    <row r="25" spans="1:18" x14ac:dyDescent="0.25">
      <c r="A25" s="1">
        <v>42736</v>
      </c>
      <c r="B25">
        <v>823.47997999999995</v>
      </c>
      <c r="C25">
        <v>84.629997000000003</v>
      </c>
      <c r="E25" s="7">
        <f t="shared" si="0"/>
        <v>7.1318930249539392E-2</v>
      </c>
      <c r="F25" s="7">
        <f t="shared" si="1"/>
        <v>-1.0059668032744606E-2</v>
      </c>
    </row>
    <row r="26" spans="1:18" ht="15.75" thickBot="1" x14ac:dyDescent="0.3">
      <c r="A26" s="1">
        <v>42767</v>
      </c>
      <c r="B26">
        <v>845.03997800000002</v>
      </c>
      <c r="C26">
        <v>90.620002999999997</v>
      </c>
      <c r="E26" s="7">
        <f t="shared" si="0"/>
        <v>2.6181569101412894E-2</v>
      </c>
      <c r="F26" s="7">
        <f t="shared" si="1"/>
        <v>7.0778757087749833E-2</v>
      </c>
      <c r="J26" s="2" t="s">
        <v>5</v>
      </c>
      <c r="K26" s="2" t="s">
        <v>3</v>
      </c>
    </row>
    <row r="27" spans="1:18" x14ac:dyDescent="0.25">
      <c r="A27" s="1">
        <v>42795</v>
      </c>
      <c r="B27">
        <v>886.53997800000002</v>
      </c>
      <c r="C27">
        <v>87.839995999999999</v>
      </c>
      <c r="E27" s="7">
        <f t="shared" si="0"/>
        <v>4.9110102575525616E-2</v>
      </c>
      <c r="F27" s="7">
        <f t="shared" si="1"/>
        <v>-3.067763085375308E-2</v>
      </c>
      <c r="I27" s="5" t="s">
        <v>7</v>
      </c>
      <c r="J27" s="7">
        <f>AVERAGE(E7:E65)</f>
        <v>3.3291750344287399E-2</v>
      </c>
      <c r="K27" s="7">
        <f>AVERAGE(F7:F65)</f>
        <v>8.4232134163948463E-3</v>
      </c>
    </row>
    <row r="28" spans="1:18" x14ac:dyDescent="0.25">
      <c r="A28" s="1">
        <v>42826</v>
      </c>
      <c r="B28">
        <v>924.98999000000003</v>
      </c>
      <c r="C28">
        <v>87</v>
      </c>
      <c r="E28" s="7">
        <f t="shared" si="0"/>
        <v>4.3370872102961089E-2</v>
      </c>
      <c r="F28" s="7">
        <f t="shared" si="1"/>
        <v>-9.5627964281783662E-3</v>
      </c>
      <c r="I28" s="6" t="s">
        <v>8</v>
      </c>
      <c r="J28" s="7">
        <f>VAR(E7:E65)</f>
        <v>7.5971683503833973E-3</v>
      </c>
      <c r="K28" s="7">
        <f>_xlfn.VAR.S(F7:F65)</f>
        <v>4.4899519571770996E-3</v>
      </c>
    </row>
    <row r="29" spans="1:18" x14ac:dyDescent="0.25">
      <c r="A29" s="1">
        <v>42856</v>
      </c>
      <c r="B29">
        <v>994.61999500000002</v>
      </c>
      <c r="C29">
        <v>82.150002000000001</v>
      </c>
      <c r="E29" s="7">
        <f t="shared" si="0"/>
        <v>7.5276495694834411E-2</v>
      </c>
      <c r="F29" s="7">
        <f t="shared" si="1"/>
        <v>-5.5747103448275825E-2</v>
      </c>
      <c r="I29" s="6" t="s">
        <v>9</v>
      </c>
      <c r="J29" s="7">
        <f>J27*12</f>
        <v>0.39950100413144879</v>
      </c>
      <c r="K29" s="7">
        <f>K27*12</f>
        <v>0.10107856099673815</v>
      </c>
    </row>
    <row r="30" spans="1:18" x14ac:dyDescent="0.25">
      <c r="A30" s="1">
        <v>42887</v>
      </c>
      <c r="B30">
        <v>968</v>
      </c>
      <c r="C30">
        <v>91.400002000000001</v>
      </c>
      <c r="E30" s="7">
        <f t="shared" si="0"/>
        <v>-2.6763985375138133E-2</v>
      </c>
      <c r="F30" s="7">
        <f t="shared" si="1"/>
        <v>0.11259890170179188</v>
      </c>
      <c r="I30" s="6" t="s">
        <v>10</v>
      </c>
      <c r="J30" s="7">
        <f>J28*12</f>
        <v>9.1166020204600767E-2</v>
      </c>
      <c r="K30" s="7">
        <f>K28*12</f>
        <v>5.3879423486125191E-2</v>
      </c>
    </row>
    <row r="31" spans="1:18" x14ac:dyDescent="0.25">
      <c r="A31" s="1">
        <v>42917</v>
      </c>
      <c r="B31">
        <v>987.78002900000001</v>
      </c>
      <c r="C31">
        <v>91.800003000000004</v>
      </c>
      <c r="E31" s="7">
        <f t="shared" si="0"/>
        <v>2.0433914256198449E-2</v>
      </c>
      <c r="F31" s="7">
        <f t="shared" si="1"/>
        <v>4.3763784600354683E-3</v>
      </c>
    </row>
    <row r="32" spans="1:18" x14ac:dyDescent="0.25">
      <c r="A32" s="1">
        <v>42948</v>
      </c>
      <c r="B32">
        <v>980.59997599999997</v>
      </c>
      <c r="C32">
        <v>90.889999000000003</v>
      </c>
      <c r="E32" s="7">
        <f t="shared" si="0"/>
        <v>-7.2688784842804832E-3</v>
      </c>
      <c r="F32" s="7">
        <f t="shared" si="1"/>
        <v>-9.9128972795349268E-3</v>
      </c>
    </row>
    <row r="33" spans="1:6" x14ac:dyDescent="0.25">
      <c r="A33" s="1">
        <v>42979</v>
      </c>
      <c r="B33">
        <v>961.34997599999997</v>
      </c>
      <c r="C33">
        <v>95.510002</v>
      </c>
      <c r="E33" s="7">
        <f t="shared" si="0"/>
        <v>-1.9630838742749512E-2</v>
      </c>
      <c r="F33" s="7">
        <f t="shared" si="1"/>
        <v>5.0830708007819414E-2</v>
      </c>
    </row>
    <row r="34" spans="1:6" x14ac:dyDescent="0.25">
      <c r="A34" s="1">
        <v>43009</v>
      </c>
      <c r="B34">
        <v>1105.280029</v>
      </c>
      <c r="C34">
        <v>100.610001</v>
      </c>
      <c r="E34" s="7">
        <f t="shared" si="0"/>
        <v>0.14971660331117542</v>
      </c>
      <c r="F34" s="7">
        <f t="shared" si="1"/>
        <v>5.3397538406501077E-2</v>
      </c>
    </row>
    <row r="35" spans="1:6" x14ac:dyDescent="0.25">
      <c r="A35" s="1">
        <v>43040</v>
      </c>
      <c r="B35">
        <v>1176.75</v>
      </c>
      <c r="C35">
        <v>104.519997</v>
      </c>
      <c r="E35" s="7">
        <f t="shared" si="0"/>
        <v>6.4662320068030521E-2</v>
      </c>
      <c r="F35" s="7">
        <f t="shared" si="1"/>
        <v>3.8862895946099929E-2</v>
      </c>
    </row>
    <row r="36" spans="1:6" x14ac:dyDescent="0.25">
      <c r="A36" s="1">
        <v>43070</v>
      </c>
      <c r="B36">
        <v>1169.469971</v>
      </c>
      <c r="C36">
        <v>106.94000200000001</v>
      </c>
      <c r="E36" s="7">
        <f t="shared" si="0"/>
        <v>-6.1865553431059706E-3</v>
      </c>
      <c r="F36" s="7">
        <f t="shared" si="1"/>
        <v>2.3153511954272288E-2</v>
      </c>
    </row>
    <row r="37" spans="1:6" x14ac:dyDescent="0.25">
      <c r="A37" s="1">
        <v>43101</v>
      </c>
      <c r="B37">
        <v>1450.8900149999999</v>
      </c>
      <c r="C37">
        <v>115.66999800000001</v>
      </c>
      <c r="E37" s="7">
        <f t="shared" si="0"/>
        <v>0.240638965495934</v>
      </c>
      <c r="F37" s="7">
        <f t="shared" si="1"/>
        <v>8.1634522505432461E-2</v>
      </c>
    </row>
    <row r="38" spans="1:6" x14ac:dyDescent="0.25">
      <c r="A38" s="1">
        <v>43132</v>
      </c>
      <c r="B38">
        <v>1512.4499510000001</v>
      </c>
      <c r="C38">
        <v>115.5</v>
      </c>
      <c r="E38" s="7">
        <f t="shared" si="0"/>
        <v>4.2429085157085433E-2</v>
      </c>
      <c r="F38" s="7">
        <f t="shared" si="1"/>
        <v>-1.4696810144321226E-3</v>
      </c>
    </row>
    <row r="39" spans="1:6" x14ac:dyDescent="0.25">
      <c r="A39" s="1">
        <v>43160</v>
      </c>
      <c r="B39">
        <v>1447.339966</v>
      </c>
      <c r="C39">
        <v>109.970001</v>
      </c>
      <c r="E39" s="7">
        <f t="shared" si="0"/>
        <v>-4.3049348480556748E-2</v>
      </c>
      <c r="F39" s="7">
        <f t="shared" si="1"/>
        <v>-4.7878779220779211E-2</v>
      </c>
    </row>
    <row r="40" spans="1:6" x14ac:dyDescent="0.25">
      <c r="A40" s="1">
        <v>43191</v>
      </c>
      <c r="B40">
        <v>1566.130005</v>
      </c>
      <c r="C40">
        <v>108.779999</v>
      </c>
      <c r="E40" s="7">
        <f t="shared" si="0"/>
        <v>8.2074731431827308E-2</v>
      </c>
      <c r="F40" s="7">
        <f t="shared" si="1"/>
        <v>-1.0821151124659867E-2</v>
      </c>
    </row>
    <row r="41" spans="1:6" x14ac:dyDescent="0.25">
      <c r="A41" s="1">
        <v>43221</v>
      </c>
      <c r="B41">
        <v>1629.619995</v>
      </c>
      <c r="C41">
        <v>107.010002</v>
      </c>
      <c r="E41" s="7">
        <f t="shared" si="0"/>
        <v>4.0539412307600831E-2</v>
      </c>
      <c r="F41" s="7">
        <f t="shared" si="1"/>
        <v>-1.6271345985211849E-2</v>
      </c>
    </row>
    <row r="42" spans="1:6" x14ac:dyDescent="0.25">
      <c r="A42" s="1">
        <v>43252</v>
      </c>
      <c r="B42">
        <v>1699.8000489999999</v>
      </c>
      <c r="C42">
        <v>104.199997</v>
      </c>
      <c r="E42" s="7">
        <f t="shared" si="0"/>
        <v>4.3065287745196024E-2</v>
      </c>
      <c r="F42" s="7">
        <f t="shared" si="1"/>
        <v>-2.6259274343345962E-2</v>
      </c>
    </row>
    <row r="43" spans="1:6" x14ac:dyDescent="0.25">
      <c r="A43" s="1">
        <v>43282</v>
      </c>
      <c r="B43">
        <v>1777.4399410000001</v>
      </c>
      <c r="C43">
        <v>114.949997</v>
      </c>
      <c r="E43" s="7">
        <f t="shared" si="0"/>
        <v>4.5675897024285872E-2</v>
      </c>
      <c r="F43" s="7">
        <f t="shared" si="1"/>
        <v>0.10316698953455816</v>
      </c>
    </row>
    <row r="44" spans="1:6" x14ac:dyDescent="0.25">
      <c r="A44" s="1">
        <v>43313</v>
      </c>
      <c r="B44">
        <v>2012.709961</v>
      </c>
      <c r="C44">
        <v>114.58000199999999</v>
      </c>
      <c r="E44" s="7">
        <f t="shared" si="0"/>
        <v>0.13236453990543007</v>
      </c>
      <c r="F44" s="7">
        <f t="shared" si="1"/>
        <v>-3.2187473654305965E-3</v>
      </c>
    </row>
    <row r="45" spans="1:6" x14ac:dyDescent="0.25">
      <c r="A45" s="1">
        <v>43344</v>
      </c>
      <c r="B45">
        <v>2003</v>
      </c>
      <c r="C45">
        <v>112.839996</v>
      </c>
      <c r="E45" s="7">
        <f t="shared" si="0"/>
        <v>-4.8243220275889787E-3</v>
      </c>
      <c r="F45" s="7">
        <f t="shared" si="1"/>
        <v>-1.5185948417071882E-2</v>
      </c>
    </row>
    <row r="46" spans="1:6" x14ac:dyDescent="0.25">
      <c r="A46" s="1">
        <v>43374</v>
      </c>
      <c r="B46">
        <v>1598.01001</v>
      </c>
      <c r="C46">
        <v>109.019997</v>
      </c>
      <c r="E46" s="7">
        <f t="shared" si="0"/>
        <v>-0.20219170743884174</v>
      </c>
      <c r="F46" s="7">
        <f t="shared" si="1"/>
        <v>-3.3853235868601006E-2</v>
      </c>
    </row>
    <row r="47" spans="1:6" x14ac:dyDescent="0.25">
      <c r="A47" s="1">
        <v>43405</v>
      </c>
      <c r="B47">
        <v>1690.170044</v>
      </c>
      <c r="C47">
        <v>111.19000200000001</v>
      </c>
      <c r="E47" s="7">
        <f t="shared" si="0"/>
        <v>5.7671750128774235E-2</v>
      </c>
      <c r="F47" s="7">
        <f t="shared" si="1"/>
        <v>1.990465107057382E-2</v>
      </c>
    </row>
    <row r="48" spans="1:6" x14ac:dyDescent="0.25">
      <c r="A48" s="1">
        <v>43435</v>
      </c>
      <c r="B48">
        <v>1501.969971</v>
      </c>
      <c r="C48">
        <v>97.620002999999997</v>
      </c>
      <c r="E48" s="7">
        <f t="shared" si="0"/>
        <v>-0.11134978617571567</v>
      </c>
      <c r="F48" s="7">
        <f t="shared" si="1"/>
        <v>-0.12204333803321643</v>
      </c>
    </row>
    <row r="49" spans="1:6" x14ac:dyDescent="0.25">
      <c r="A49" s="1">
        <v>43466</v>
      </c>
      <c r="B49">
        <v>1718.7299800000001</v>
      </c>
      <c r="C49">
        <v>103.5</v>
      </c>
      <c r="E49" s="7">
        <f t="shared" si="0"/>
        <v>0.14431713894764675</v>
      </c>
      <c r="F49" s="7">
        <f t="shared" si="1"/>
        <v>6.0233526114519931E-2</v>
      </c>
    </row>
    <row r="50" spans="1:6" x14ac:dyDescent="0.25">
      <c r="A50" s="1">
        <v>43497</v>
      </c>
      <c r="B50">
        <v>1639.829956</v>
      </c>
      <c r="C50">
        <v>104.360001</v>
      </c>
      <c r="E50" s="7">
        <f t="shared" si="0"/>
        <v>-4.5906003222216496E-2</v>
      </c>
      <c r="F50" s="7">
        <f t="shared" si="1"/>
        <v>8.3091884057970855E-3</v>
      </c>
    </row>
    <row r="51" spans="1:6" x14ac:dyDescent="0.25">
      <c r="A51" s="1">
        <v>43525</v>
      </c>
      <c r="B51">
        <v>1780.75</v>
      </c>
      <c r="C51">
        <v>101.230003</v>
      </c>
      <c r="E51" s="7">
        <f t="shared" si="0"/>
        <v>8.5935766378937961E-2</v>
      </c>
      <c r="F51" s="7">
        <f t="shared" si="1"/>
        <v>-2.9992314775849849E-2</v>
      </c>
    </row>
    <row r="52" spans="1:6" x14ac:dyDescent="0.25">
      <c r="A52" s="1">
        <v>43556</v>
      </c>
      <c r="B52">
        <v>1926.5200199999999</v>
      </c>
      <c r="C52">
        <v>116.050003</v>
      </c>
      <c r="E52" s="7">
        <f t="shared" si="0"/>
        <v>8.1858778604520621E-2</v>
      </c>
      <c r="F52" s="7">
        <f t="shared" si="1"/>
        <v>0.14639928440978123</v>
      </c>
    </row>
    <row r="53" spans="1:6" x14ac:dyDescent="0.25">
      <c r="A53" s="1">
        <v>43586</v>
      </c>
      <c r="B53">
        <v>1775.0699460000001</v>
      </c>
      <c r="C53">
        <v>105.959999</v>
      </c>
      <c r="E53" s="7">
        <f t="shared" si="0"/>
        <v>-7.8613288430815165E-2</v>
      </c>
      <c r="F53" s="7">
        <f t="shared" si="1"/>
        <v>-8.6945314426230658E-2</v>
      </c>
    </row>
    <row r="54" spans="1:6" x14ac:dyDescent="0.25">
      <c r="A54" s="1">
        <v>43617</v>
      </c>
      <c r="B54">
        <v>1893.630005</v>
      </c>
      <c r="C54">
        <v>111.800003</v>
      </c>
      <c r="E54" s="7">
        <f t="shared" si="0"/>
        <v>6.6791767427062165E-2</v>
      </c>
      <c r="F54" s="7">
        <f t="shared" si="1"/>
        <v>5.5115176058089688E-2</v>
      </c>
    </row>
    <row r="55" spans="1:6" x14ac:dyDescent="0.25">
      <c r="A55" s="1">
        <v>43647</v>
      </c>
      <c r="B55">
        <v>1866.780029</v>
      </c>
      <c r="C55">
        <v>116</v>
      </c>
      <c r="E55" s="7">
        <f t="shared" si="0"/>
        <v>-1.4179103588929487E-2</v>
      </c>
      <c r="F55" s="7">
        <f t="shared" si="1"/>
        <v>3.7567056237019836E-2</v>
      </c>
    </row>
    <row r="56" spans="1:6" x14ac:dyDescent="0.25">
      <c r="A56" s="1">
        <v>43678</v>
      </c>
      <c r="B56">
        <v>1776.290039</v>
      </c>
      <c r="C56">
        <v>109.860001</v>
      </c>
      <c r="E56" s="7">
        <f t="shared" si="0"/>
        <v>-4.8473836549705274E-2</v>
      </c>
      <c r="F56" s="7">
        <f t="shared" si="1"/>
        <v>-5.2931025862068992E-2</v>
      </c>
    </row>
    <row r="57" spans="1:6" x14ac:dyDescent="0.25">
      <c r="A57" s="1">
        <v>43709</v>
      </c>
      <c r="B57">
        <v>1735.910034</v>
      </c>
      <c r="C57">
        <v>117.69000200000001</v>
      </c>
      <c r="E57" s="7">
        <f t="shared" si="0"/>
        <v>-2.2732776806389521E-2</v>
      </c>
      <c r="F57" s="7">
        <f t="shared" si="1"/>
        <v>7.1272537126592761E-2</v>
      </c>
    </row>
    <row r="58" spans="1:6" x14ac:dyDescent="0.25">
      <c r="A58" s="1">
        <v>43739</v>
      </c>
      <c r="B58">
        <v>1776.660034</v>
      </c>
      <c r="C58">
        <v>124.91999800000001</v>
      </c>
      <c r="E58" s="7">
        <f t="shared" si="0"/>
        <v>2.3474718851702825E-2</v>
      </c>
      <c r="F58" s="7">
        <f t="shared" si="1"/>
        <v>6.1432542077788366E-2</v>
      </c>
    </row>
    <row r="59" spans="1:6" x14ac:dyDescent="0.25">
      <c r="A59" s="1">
        <v>43770</v>
      </c>
      <c r="B59">
        <v>1800.8000489999999</v>
      </c>
      <c r="C59">
        <v>131.759995</v>
      </c>
      <c r="E59" s="7">
        <f t="shared" si="0"/>
        <v>1.358730119326812E-2</v>
      </c>
      <c r="F59" s="7">
        <f t="shared" si="1"/>
        <v>5.475502008893729E-2</v>
      </c>
    </row>
    <row r="60" spans="1:6" x14ac:dyDescent="0.25">
      <c r="A60" s="1">
        <v>43800</v>
      </c>
      <c r="B60">
        <v>1847.839966</v>
      </c>
      <c r="C60">
        <v>139.39999399999999</v>
      </c>
      <c r="E60" s="7">
        <f t="shared" si="0"/>
        <v>2.6121676876964539E-2</v>
      </c>
      <c r="F60" s="7">
        <f t="shared" si="1"/>
        <v>5.7984208332733989E-2</v>
      </c>
    </row>
    <row r="61" spans="1:6" x14ac:dyDescent="0.25">
      <c r="A61" s="1">
        <v>43831</v>
      </c>
      <c r="B61">
        <v>2008.719971</v>
      </c>
      <c r="C61">
        <v>132.36000100000001</v>
      </c>
      <c r="E61" s="7">
        <f t="shared" si="0"/>
        <v>8.7063819356746119E-2</v>
      </c>
      <c r="F61" s="7">
        <f t="shared" si="1"/>
        <v>-5.0502104038827822E-2</v>
      </c>
    </row>
    <row r="62" spans="1:6" x14ac:dyDescent="0.25">
      <c r="A62" s="1">
        <v>43862</v>
      </c>
      <c r="B62">
        <v>1883.75</v>
      </c>
      <c r="C62">
        <v>116.110001</v>
      </c>
      <c r="E62" s="7">
        <f t="shared" si="0"/>
        <v>-6.2213734519593666E-2</v>
      </c>
      <c r="F62" s="7">
        <f t="shared" si="1"/>
        <v>-0.12277122905129034</v>
      </c>
    </row>
    <row r="63" spans="1:6" x14ac:dyDescent="0.25">
      <c r="A63" s="1">
        <v>43891</v>
      </c>
      <c r="B63">
        <v>1949.719971</v>
      </c>
      <c r="C63">
        <v>90.029999000000004</v>
      </c>
      <c r="E63" s="7">
        <f t="shared" si="0"/>
        <v>3.5020555275381504E-2</v>
      </c>
      <c r="F63" s="7">
        <f t="shared" si="1"/>
        <v>-0.22461460490384455</v>
      </c>
    </row>
    <row r="64" spans="1:6" x14ac:dyDescent="0.25">
      <c r="A64" s="1">
        <v>43922</v>
      </c>
      <c r="B64">
        <v>2474</v>
      </c>
      <c r="C64">
        <v>95.760002</v>
      </c>
      <c r="E64" s="7">
        <f t="shared" si="0"/>
        <v>0.26890016863862765</v>
      </c>
      <c r="F64" s="7">
        <f t="shared" si="1"/>
        <v>6.3645485545323677E-2</v>
      </c>
    </row>
    <row r="65" spans="1:6" x14ac:dyDescent="0.25">
      <c r="A65" s="1">
        <v>43952</v>
      </c>
      <c r="B65">
        <v>2442.3701169999999</v>
      </c>
      <c r="C65">
        <v>97.309997999999993</v>
      </c>
      <c r="E65" s="7">
        <f t="shared" si="0"/>
        <v>-1.2784916329830254E-2</v>
      </c>
      <c r="F65" s="7">
        <f t="shared" si="1"/>
        <v>1.6186256971882695E-2</v>
      </c>
    </row>
    <row r="66" spans="1:6" x14ac:dyDescent="0.25">
      <c r="A66" s="1"/>
    </row>
    <row r="67" spans="1:6" x14ac:dyDescent="0.25">
      <c r="A67" s="1"/>
    </row>
    <row r="68" spans="1:6" x14ac:dyDescent="0.25">
      <c r="A68" s="1"/>
    </row>
    <row r="69" spans="1:6" x14ac:dyDescent="0.25">
      <c r="A69" s="1"/>
    </row>
    <row r="70" spans="1:6" x14ac:dyDescent="0.25">
      <c r="A70" s="1"/>
    </row>
    <row r="71" spans="1:6" x14ac:dyDescent="0.25">
      <c r="A71" s="1"/>
    </row>
    <row r="72" spans="1:6" x14ac:dyDescent="0.25">
      <c r="A72" s="1"/>
    </row>
    <row r="73" spans="1:6" x14ac:dyDescent="0.25">
      <c r="A73" s="1"/>
    </row>
    <row r="74" spans="1:6" x14ac:dyDescent="0.25">
      <c r="A74" s="1"/>
    </row>
    <row r="75" spans="1:6" x14ac:dyDescent="0.25">
      <c r="A75" s="1"/>
    </row>
    <row r="76" spans="1:6" x14ac:dyDescent="0.25">
      <c r="A76" s="1"/>
    </row>
    <row r="77" spans="1:6" x14ac:dyDescent="0.25">
      <c r="A77" s="1"/>
    </row>
    <row r="78" spans="1:6" x14ac:dyDescent="0.25">
      <c r="A78" s="1"/>
    </row>
    <row r="79" spans="1:6" x14ac:dyDescent="0.25">
      <c r="A79" s="1"/>
    </row>
    <row r="80" spans="1:6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</sheetData>
  <mergeCells count="7">
    <mergeCell ref="N4:P4"/>
    <mergeCell ref="I3:K3"/>
    <mergeCell ref="I14:K14"/>
    <mergeCell ref="I2:K2"/>
    <mergeCell ref="A1:G2"/>
    <mergeCell ref="A4:C4"/>
    <mergeCell ref="E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Portfolio</vt:lpstr>
      <vt:lpstr>Amzn</vt:lpstr>
      <vt:lpstr>Amznret</vt:lpstr>
      <vt:lpstr>JP</vt:lpstr>
      <vt:lpstr>JPret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2020-06-02T23:23:46Z</dcterms:created>
  <dcterms:modified xsi:type="dcterms:W3CDTF">2020-06-03T02:42:39Z</dcterms:modified>
</cp:coreProperties>
</file>